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nfossi\Documents\Codes\F#\Materials\tests\MaterialLibrary.Examples\"/>
    </mc:Choice>
  </mc:AlternateContent>
  <xr:revisionPtr revIDLastSave="0" documentId="13_ncr:1_{782E3850-2435-4813-840E-2947664F788D}" xr6:coauthVersionLast="47" xr6:coauthVersionMax="47" xr10:uidLastSave="{00000000-0000-0000-0000-000000000000}"/>
  <bookViews>
    <workbookView xWindow="28680" yWindow="-120" windowWidth="29040" windowHeight="15720" xr2:uid="{14284A69-5191-496A-850C-9A40DA964F84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 a="1"/>
  <c r="D13" i="1" a="1"/>
  <c r="D5" i="1" a="1"/>
  <c r="D9" i="1" a="1"/>
  <c r="D8" i="1" a="1"/>
  <c r="D7" i="1" a="1"/>
  <c r="D6" i="1" a="1"/>
  <c r="D9" i="1" l="1"/>
  <c r="D8" i="1"/>
  <c r="D7" i="1"/>
  <c r="D6" i="1"/>
  <c r="M13" i="1"/>
  <c r="D13" i="1"/>
  <c r="D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theme="1"/>
      <name val="Courier New"/>
      <family val="2"/>
    </font>
    <font>
      <b/>
      <sz val="10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E2D39-1E75-49F3-BEB7-624844DD738A}">
  <dimension ref="D5:P34"/>
  <sheetViews>
    <sheetView tabSelected="1" workbookViewId="0">
      <selection activeCell="D9" sqref="D9"/>
    </sheetView>
  </sheetViews>
  <sheetFormatPr defaultRowHeight="13.8" x14ac:dyDescent="0.3"/>
  <cols>
    <col min="4" max="4" width="13.69921875" customWidth="1"/>
    <col min="5" max="5" width="22.59765625" customWidth="1"/>
    <col min="6" max="6" width="14" bestFit="1" customWidth="1"/>
    <col min="7" max="7" width="5.8984375" bestFit="1" customWidth="1"/>
    <col min="8" max="8" width="15" customWidth="1"/>
    <col min="9" max="9" width="11.8984375" bestFit="1" customWidth="1"/>
    <col min="13" max="13" width="17.09765625" bestFit="1" customWidth="1"/>
    <col min="14" max="14" width="21.19921875" bestFit="1" customWidth="1"/>
    <col min="15" max="15" width="20.09765625" bestFit="1" customWidth="1"/>
    <col min="16" max="16" width="13" bestFit="1" customWidth="1"/>
  </cols>
  <sheetData>
    <row r="5" spans="4:16" x14ac:dyDescent="0.3">
      <c r="D5" t="str" cm="1">
        <f t="array" ref="D5">_xll.MatOpenDatabase("C:\Users\ganfossi\Documents\DataBase\data\asme_materials.db")</f>
        <v>Loaded 2129 materials from the ASME database.</v>
      </c>
    </row>
    <row r="6" spans="4:16" x14ac:dyDescent="0.3">
      <c r="D6" t="str" cm="1">
        <f t="array" ref="D6">_xll.MatDefaultAsmeDatabasePath()</f>
        <v>C:\Users\ganfossi\Documents\DataBase\data\asme_materials.db</v>
      </c>
    </row>
    <row r="7" spans="4:16" x14ac:dyDescent="0.3">
      <c r="D7" t="str" cm="1">
        <f t="array" ref="D7">_xll.MatConfigPath()</f>
        <v>MaterialLibrary.config.xml</v>
      </c>
    </row>
    <row r="8" spans="4:16" x14ac:dyDescent="0.3">
      <c r="D8" t="str" cm="1">
        <f t="array" ref="D8">_xll.status()</f>
        <v>Database: C:\Users\ganfossi\Documents\DataBase\data\asme_materials.db (2129 materials) | JSON library: not loaded | Combined: 2129 materials</v>
      </c>
    </row>
    <row r="9" spans="4:16" x14ac:dyDescent="0.3">
      <c r="D9" t="str" cm="1">
        <f t="array" ref="D9">_xll.MatSaveMaterial("ASME-177","C:\Users\ganfossi\Documents")</f>
        <v>#VALUE! File write failed: Access to the path 'C:\Users\ganfossi\Documents' is denied.</v>
      </c>
    </row>
    <row r="10" spans="4:16" x14ac:dyDescent="0.3">
      <c r="E10" s="1"/>
      <c r="F10" s="1"/>
      <c r="G10" s="1"/>
      <c r="H10" s="1"/>
      <c r="I10" s="1"/>
    </row>
    <row r="13" spans="4:16" x14ac:dyDescent="0.3">
      <c r="D13" s="1" t="str" cm="1">
        <f t="array" ref="D13:I17">_xll.MatSearch("SA-516")</f>
        <v>Id</v>
      </c>
      <c r="E13" t="str">
        <v>Name</v>
      </c>
      <c r="F13" t="str">
        <v>Specification</v>
      </c>
      <c r="G13" t="str">
        <v>Grade</v>
      </c>
      <c r="H13" t="str">
        <v>Family</v>
      </c>
      <c r="I13" t="str">
        <v>ProductForm</v>
      </c>
      <c r="M13" t="str" cm="1">
        <f t="array" ref="M13:P34">_xll.MatAllowableStressTable("ASME-355","Bolting")</f>
        <v>Temperature_degC</v>
      </c>
      <c r="N13" t="str">
        <v>100.000 - 180.000 mm</v>
      </c>
      <c r="O13" t="str">
        <v>64.000 - 100.000 mm</v>
      </c>
      <c r="P13" t="str">
        <v>&lt;= 64.000 mm</v>
      </c>
    </row>
    <row r="14" spans="4:16" x14ac:dyDescent="0.3">
      <c r="D14" t="str">
        <v>ASME-126</v>
      </c>
      <c r="E14" t="str">
        <v>SA-516 65 K02403</v>
      </c>
      <c r="F14" t="str">
        <v>SA-516</v>
      </c>
      <c r="G14" t="str">
        <v>65</v>
      </c>
      <c r="H14" t="str">
        <v>CS</v>
      </c>
      <c r="I14" t="str">
        <v>Plate</v>
      </c>
      <c r="M14">
        <v>40</v>
      </c>
      <c r="N14">
        <v>130</v>
      </c>
      <c r="O14">
        <v>159</v>
      </c>
      <c r="P14">
        <v>172</v>
      </c>
    </row>
    <row r="15" spans="4:16" x14ac:dyDescent="0.3">
      <c r="D15" t="str">
        <v>ASME-177</v>
      </c>
      <c r="E15" t="str">
        <v>SA-516 70 K02700</v>
      </c>
      <c r="F15" t="str">
        <v>SA-516</v>
      </c>
      <c r="G15" t="str">
        <v>70</v>
      </c>
      <c r="H15" t="str">
        <v>CS</v>
      </c>
      <c r="I15" t="str">
        <v>Plate</v>
      </c>
      <c r="M15">
        <v>65</v>
      </c>
      <c r="N15">
        <v>130</v>
      </c>
      <c r="O15">
        <v>159</v>
      </c>
      <c r="P15">
        <v>172</v>
      </c>
    </row>
    <row r="16" spans="4:16" x14ac:dyDescent="0.3">
      <c r="D16" t="str">
        <v>ASME-41</v>
      </c>
      <c r="E16" t="str">
        <v>SA-516 55 K01800</v>
      </c>
      <c r="F16" t="str">
        <v>SA-516</v>
      </c>
      <c r="G16" t="str">
        <v>55</v>
      </c>
      <c r="H16" t="str">
        <v>CS</v>
      </c>
      <c r="I16" t="str">
        <v>Plate</v>
      </c>
      <c r="M16">
        <v>100</v>
      </c>
      <c r="N16">
        <v>130</v>
      </c>
      <c r="O16">
        <v>159</v>
      </c>
      <c r="P16">
        <v>172</v>
      </c>
    </row>
    <row r="17" spans="4:16" x14ac:dyDescent="0.3">
      <c r="D17" t="str">
        <v>ASME-83</v>
      </c>
      <c r="E17" t="str">
        <v>SA-516 60 K02100</v>
      </c>
      <c r="F17" t="str">
        <v>SA-516</v>
      </c>
      <c r="G17" t="str">
        <v>60</v>
      </c>
      <c r="H17" t="str">
        <v>CS</v>
      </c>
      <c r="I17" t="str">
        <v>Plate</v>
      </c>
      <c r="M17">
        <v>125</v>
      </c>
      <c r="N17">
        <v>130</v>
      </c>
      <c r="O17">
        <v>159</v>
      </c>
      <c r="P17">
        <v>172</v>
      </c>
    </row>
    <row r="18" spans="4:16" x14ac:dyDescent="0.3">
      <c r="M18">
        <v>150</v>
      </c>
      <c r="N18">
        <v>130</v>
      </c>
      <c r="O18">
        <v>159</v>
      </c>
      <c r="P18">
        <v>172</v>
      </c>
    </row>
    <row r="19" spans="4:16" x14ac:dyDescent="0.3">
      <c r="M19">
        <v>175</v>
      </c>
      <c r="N19">
        <v>130</v>
      </c>
      <c r="O19">
        <v>159</v>
      </c>
      <c r="P19">
        <v>172</v>
      </c>
    </row>
    <row r="20" spans="4:16" x14ac:dyDescent="0.3">
      <c r="M20">
        <v>200</v>
      </c>
      <c r="N20">
        <v>130</v>
      </c>
      <c r="O20">
        <v>159</v>
      </c>
      <c r="P20">
        <v>172</v>
      </c>
    </row>
    <row r="21" spans="4:16" x14ac:dyDescent="0.3">
      <c r="M21">
        <v>225</v>
      </c>
      <c r="N21">
        <v>130</v>
      </c>
      <c r="O21">
        <v>159</v>
      </c>
      <c r="P21">
        <v>172</v>
      </c>
    </row>
    <row r="22" spans="4:16" x14ac:dyDescent="0.3">
      <c r="M22">
        <v>250</v>
      </c>
      <c r="N22">
        <v>130</v>
      </c>
      <c r="O22">
        <v>159</v>
      </c>
      <c r="P22">
        <v>172</v>
      </c>
    </row>
    <row r="23" spans="4:16" x14ac:dyDescent="0.3">
      <c r="M23">
        <v>275</v>
      </c>
      <c r="N23">
        <v>130</v>
      </c>
      <c r="O23">
        <v>159</v>
      </c>
      <c r="P23">
        <v>172</v>
      </c>
    </row>
    <row r="24" spans="4:16" x14ac:dyDescent="0.3">
      <c r="M24">
        <v>300</v>
      </c>
      <c r="N24">
        <v>130</v>
      </c>
      <c r="O24">
        <v>159</v>
      </c>
      <c r="P24">
        <v>172</v>
      </c>
    </row>
    <row r="25" spans="4:16" x14ac:dyDescent="0.3">
      <c r="M25">
        <v>325</v>
      </c>
      <c r="N25">
        <v>130</v>
      </c>
      <c r="O25">
        <v>159</v>
      </c>
      <c r="P25">
        <v>172</v>
      </c>
    </row>
    <row r="26" spans="4:16" x14ac:dyDescent="0.3">
      <c r="M26">
        <v>350</v>
      </c>
      <c r="N26">
        <v>130</v>
      </c>
      <c r="O26">
        <v>159</v>
      </c>
      <c r="P26">
        <v>172</v>
      </c>
    </row>
    <row r="27" spans="4:16" x14ac:dyDescent="0.3">
      <c r="M27">
        <v>375</v>
      </c>
      <c r="N27">
        <v>130</v>
      </c>
      <c r="O27">
        <v>158</v>
      </c>
      <c r="P27">
        <v>172</v>
      </c>
    </row>
    <row r="28" spans="4:16" x14ac:dyDescent="0.3">
      <c r="M28">
        <v>400</v>
      </c>
      <c r="N28">
        <v>130</v>
      </c>
      <c r="O28">
        <v>153</v>
      </c>
      <c r="P28">
        <v>162</v>
      </c>
    </row>
    <row r="29" spans="4:16" x14ac:dyDescent="0.3">
      <c r="M29">
        <v>425</v>
      </c>
      <c r="N29">
        <v>125</v>
      </c>
      <c r="O29">
        <v>139</v>
      </c>
      <c r="P29">
        <v>146</v>
      </c>
    </row>
    <row r="30" spans="4:16" x14ac:dyDescent="0.3">
      <c r="M30">
        <v>450</v>
      </c>
      <c r="N30">
        <v>115</v>
      </c>
      <c r="O30">
        <v>117</v>
      </c>
      <c r="P30">
        <v>118</v>
      </c>
    </row>
    <row r="31" spans="4:16" x14ac:dyDescent="0.3">
      <c r="M31">
        <v>475</v>
      </c>
      <c r="N31">
        <v>93.7</v>
      </c>
      <c r="O31">
        <v>93</v>
      </c>
      <c r="P31">
        <v>92.7</v>
      </c>
    </row>
    <row r="32" spans="4:16" x14ac:dyDescent="0.3">
      <c r="M32">
        <v>500</v>
      </c>
      <c r="N32">
        <v>68.400000000000006</v>
      </c>
      <c r="O32">
        <v>68.599999999999994</v>
      </c>
      <c r="P32">
        <v>68.8</v>
      </c>
    </row>
    <row r="33" spans="13:16" x14ac:dyDescent="0.3">
      <c r="M33">
        <v>525</v>
      </c>
      <c r="N33">
        <v>43.8</v>
      </c>
      <c r="O33">
        <v>43.7</v>
      </c>
      <c r="P33">
        <v>43.6</v>
      </c>
    </row>
    <row r="34" spans="13:16" x14ac:dyDescent="0.3">
      <c r="M34">
        <v>550</v>
      </c>
      <c r="N34">
        <v>18.899999999999999</v>
      </c>
      <c r="O34">
        <v>18.899999999999999</v>
      </c>
      <c r="P34">
        <v>18.899999999999999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Demo File to Test EXCEL Interface</dc:title>
  <dc:creator>Gian Luca Anfossi</dc:creator>
  <cp:keywords>Materails</cp:keywords>
  <cp:lastModifiedBy>Gian Luca Anfossi</cp:lastModifiedBy>
  <dcterms:created xsi:type="dcterms:W3CDTF">2026-07-30T13:46:18Z</dcterms:created>
  <dcterms:modified xsi:type="dcterms:W3CDTF">2026-07-30T14:13:11Z</dcterms:modified>
</cp:coreProperties>
</file>