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fossi\Documents\Codes\F#\Materials\tests\MaterialLibrary.Examples\"/>
    </mc:Choice>
  </mc:AlternateContent>
  <xr:revisionPtr revIDLastSave="0" documentId="13_ncr:1_{F58E05B9-848D-4E8E-AD36-F82E0EF5C774}" xr6:coauthVersionLast="47" xr6:coauthVersionMax="47" xr10:uidLastSave="{00000000-0000-0000-0000-000000000000}"/>
  <bookViews>
    <workbookView xWindow="28680" yWindow="-120" windowWidth="29040" windowHeight="15720" xr2:uid="{14284A69-5191-496A-850C-9A40DA964F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 a="1"/>
  <c r="D21" i="1" a="1"/>
  <c r="D13" i="1" a="1"/>
  <c r="D8" i="1" a="1"/>
  <c r="D7" i="1" a="1"/>
  <c r="D6" i="1" a="1"/>
  <c r="D5" i="1" a="1"/>
  <c r="M13" i="1" l="1"/>
  <c r="D21" i="1"/>
  <c r="D13" i="1"/>
  <c r="D8" i="1"/>
  <c r="D7" i="1"/>
  <c r="D6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ourier New"/>
      <family val="2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2D39-1E75-49F3-BEB7-624844DD738A}">
  <dimension ref="D5:M21"/>
  <sheetViews>
    <sheetView tabSelected="1" topLeftCell="E1" workbookViewId="0">
      <selection activeCell="M13" sqref="M13"/>
    </sheetView>
  </sheetViews>
  <sheetFormatPr defaultRowHeight="13.8" x14ac:dyDescent="0.3"/>
  <cols>
    <col min="4" max="4" width="13.69921875" customWidth="1"/>
    <col min="5" max="5" width="22.59765625" customWidth="1"/>
    <col min="6" max="6" width="14" bestFit="1" customWidth="1"/>
    <col min="7" max="7" width="5.8984375" bestFit="1" customWidth="1"/>
    <col min="8" max="8" width="15" customWidth="1"/>
    <col min="9" max="9" width="11.8984375" bestFit="1" customWidth="1"/>
    <col min="13" max="13" width="17.09765625" bestFit="1" customWidth="1"/>
    <col min="14" max="14" width="21.19921875" bestFit="1" customWidth="1"/>
    <col min="15" max="15" width="20.09765625" bestFit="1" customWidth="1"/>
    <col min="16" max="16" width="13" bestFit="1" customWidth="1"/>
  </cols>
  <sheetData>
    <row r="5" spans="4:13" x14ac:dyDescent="0.3">
      <c r="D5" t="e" cm="1">
        <f t="array" aca="1" ref="D5" ca="1">_xll.MatOpenDatabase("C:\Users\ganfossi\Documents\DataBase\data\asme_materials.db")</f>
        <v>#VALUE!</v>
      </c>
    </row>
    <row r="6" spans="4:13" x14ac:dyDescent="0.3">
      <c r="D6" t="e" cm="1">
        <f t="array" aca="1" ref="D6" ca="1">_xll.MatDefaultAsmeDatabasePath()</f>
        <v>#VALUE!</v>
      </c>
    </row>
    <row r="7" spans="4:13" x14ac:dyDescent="0.3">
      <c r="D7" t="e" cm="1">
        <f t="array" aca="1" ref="D7" ca="1">_xll.MatConfigPath()</f>
        <v>#VALUE!</v>
      </c>
    </row>
    <row r="8" spans="4:13" x14ac:dyDescent="0.3">
      <c r="D8" t="e" cm="1">
        <f t="array" aca="1" ref="D8" ca="1">_xll.status()</f>
        <v>#VALUE!</v>
      </c>
    </row>
    <row r="10" spans="4:13" x14ac:dyDescent="0.3">
      <c r="E10" s="1"/>
      <c r="F10" s="1"/>
      <c r="G10" s="1"/>
      <c r="H10" s="1"/>
      <c r="I10" s="1"/>
    </row>
    <row r="13" spans="4:13" x14ac:dyDescent="0.3">
      <c r="D13" s="1" t="e" cm="1">
        <f t="array" aca="1" ref="D13" ca="1">_xll.MatSearch("SA-516")</f>
        <v>#VALUE!</v>
      </c>
      <c r="M13" t="e" cm="1">
        <f t="array" aca="1" ref="M13" ca="1">_xll.MatAllowableStressTable("ASME-355","Bolting")</f>
        <v>#VALUE!</v>
      </c>
    </row>
    <row r="21" spans="4:4" x14ac:dyDescent="0.3">
      <c r="D21" s="1" t="e" cm="1">
        <f t="array" aca="1" ref="D21" ca="1">_xll.MatSearch("SA-193","B7")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Demo File to Test EXCEL Interface</dc:title>
  <dc:creator>Gian Luca Anfossi</dc:creator>
  <cp:keywords>Materails</cp:keywords>
  <cp:lastModifiedBy>Gian Luca Anfossi</cp:lastModifiedBy>
  <dcterms:created xsi:type="dcterms:W3CDTF">2026-07-30T13:46:18Z</dcterms:created>
  <dcterms:modified xsi:type="dcterms:W3CDTF">2026-07-30T16:35:30Z</dcterms:modified>
</cp:coreProperties>
</file>